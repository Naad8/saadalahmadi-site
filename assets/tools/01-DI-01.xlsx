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ييم" sheetId="1" state="visible" r:id="rId1"/>
  </sheets>
  <definedNames>
    <definedName name="_xlnm.Print_Area" localSheetId="0">'التقييم'!$A$1:$E$20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b val="1"/>
      <color rgb="00A97E2F"/>
      <sz val="10.5"/>
    </font>
    <font>
      <name val="Arial"/>
      <color rgb="00FFFFFF"/>
      <sz val="10"/>
    </font>
    <font>
      <name val="Arial"/>
      <b val="1"/>
      <color rgb="001F5C3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9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medium">
        <color rgb="001F5C3F"/>
      </top>
      <bottom/>
      <diagonal/>
    </border>
    <border>
      <left/>
      <right style="medium">
        <color rgb="001F5C3F"/>
      </right>
      <top style="medium">
        <color rgb="001F5C3F"/>
      </top>
      <bottom/>
      <diagonal/>
    </border>
    <border>
      <left/>
      <right style="medium">
        <color rgb="001F5C3F"/>
      </right>
      <top style="medium">
        <color rgb="001F5C3F"/>
      </top>
      <bottom style="medium">
        <color rgb="001F5C3F"/>
      </bottom>
      <diagonal/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1" fontId="8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right" vertical="center" wrapText="1"/>
    </xf>
    <xf numFmtId="1" fontId="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right" vertical="center" wrapText="1"/>
    </xf>
    <xf numFmtId="9" fontId="11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C9" authorId="0" shapeId="0">
      <text>
        <t>مثال — اختر الدرجة من القائمة المنسدلة (0 إلى 5).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rightToLeft="1" workbookViewId="0">
      <selection activeCell="A1" sqref="A1"/>
    </sheetView>
  </sheetViews>
  <sheetFormatPr baseColWidth="8" defaultRowHeight="15"/>
  <cols>
    <col width="5.5" customWidth="1" min="1" max="1"/>
    <col width="44" customWidth="1" min="2" max="2"/>
    <col width="13" customWidth="1" min="3" max="3"/>
    <col width="34" customWidth="1" min="4" max="4"/>
    <col width="15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 من ٢٧ — التشخيص الذاتي للفجوات السبع  ·  الفصل الأول</t>
        </is>
      </c>
    </row>
    <row r="3" ht="28" customHeight="1">
      <c r="A3" s="3" t="inlineStr">
        <is>
          <t>الفكرة: تحويل الفجوات السبع إلى خط أساس رقمي يُقاس عليه أثر التحول.</t>
        </is>
      </c>
    </row>
    <row r="4" ht="32" customHeight="1">
      <c r="A4" s="4" t="inlineStr">
        <is>
          <t>إرشادات: تُملأ في جلسة بحضور الموارد البشرية وعدة مديرين لا مدير واحد، بالنقاش لا بالتصويت الصامت، مع توثيق مبرر كل درجة.</t>
        </is>
      </c>
    </row>
    <row r="5" ht="26" customHeight="1">
      <c r="A5" s="5" t="inlineStr">
        <is>
          <t>مقياس التقدير: ٠ = الفجوة قائمة بالكامل ولا تُعالَج · ٣ = معالجة قائمة تحتاج تحسينًا · ٥ = مُعالَجة بالكامل. كلما ارتفعت الدرجة نضجت المنظومة.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البند</t>
        </is>
      </c>
      <c r="C8" s="6" t="inlineStr">
        <is>
          <t>الدرجة (٠–٥)</t>
        </is>
      </c>
      <c r="D8" s="6" t="inlineStr">
        <is>
          <t>القراءة (مبرر الدرجة)</t>
        </is>
      </c>
      <c r="E8" s="6" t="inlineStr">
        <is>
          <t>الأولوية</t>
        </is>
      </c>
    </row>
    <row r="9" ht="30" customHeight="1">
      <c r="A9" s="7" t="inlineStr">
        <is>
          <t>١</t>
        </is>
      </c>
      <c r="B9" s="8" t="inlineStr">
        <is>
          <t>ضعف الربط الفعلي بين الأهداف الفردية والخطة الاستراتيجية</t>
        </is>
      </c>
      <c r="C9" s="9" t="n">
        <v>3</v>
      </c>
      <c r="D9" s="10" t="inlineStr">
        <is>
          <t>مواءمة لفظية دون آلية إسقاط</t>
        </is>
      </c>
      <c r="E9" s="11">
        <f>IF(AND(N(C9)&gt;0,C9&lt;=SMALL($C$9:$C$15,2)),"⚑ أولوية تدخل","")</f>
        <v/>
      </c>
    </row>
    <row r="10" ht="30" customHeight="1">
      <c r="A10" s="7" t="inlineStr">
        <is>
          <t>٢</t>
        </is>
      </c>
      <c r="B10" s="8" t="inlineStr">
        <is>
          <t>تفاوت جودة صياغة الأهداف بين الوحدات</t>
        </is>
      </c>
      <c r="C10" s="9" t="n">
        <v>1</v>
      </c>
      <c r="D10" s="10" t="inlineStr">
        <is>
          <t>الصياغة تُترك لاجتهاد كل مدير</t>
        </is>
      </c>
      <c r="E10" s="11">
        <f>IF(AND(N(C10)&gt;0,C10&lt;=SMALL($C$9:$C$15,2)),"⚑ أولوية تدخل","")</f>
        <v/>
      </c>
    </row>
    <row r="11" ht="30" customHeight="1">
      <c r="A11" s="7" t="inlineStr">
        <is>
          <t>٣</t>
        </is>
      </c>
      <c r="B11" s="8" t="inlineStr">
        <is>
          <t>تفاوت نضج المؤشرات ومعادلات قياسها</t>
        </is>
      </c>
      <c r="C11" s="9" t="n">
        <v>2</v>
      </c>
      <c r="D11" s="10" t="inlineStr"/>
      <c r="E11" s="11">
        <f>IF(AND(N(C11)&gt;0,C11&lt;=SMALL($C$9:$C$15,2)),"⚑ أولوية تدخل","")</f>
        <v/>
      </c>
    </row>
    <row r="12" ht="30" customHeight="1">
      <c r="A12" s="7" t="inlineStr">
        <is>
          <t>٤</t>
        </is>
      </c>
      <c r="B12" s="8" t="inlineStr">
        <is>
          <t>الاعتماد المحدود على بيانات الأنظمة التشغيلية</t>
        </is>
      </c>
      <c r="C12" s="9" t="n">
        <v>4</v>
      </c>
      <c r="D12" s="10" t="inlineStr">
        <is>
          <t>الأنظمة تنتج بيانات لا تُستخدم في التقييم</t>
        </is>
      </c>
      <c r="E12" s="11">
        <f>IF(AND(N(C12)&gt;0,C12&lt;=SMALL($C$9:$C$15,2)),"⚑ أولوية تدخل","")</f>
        <v/>
      </c>
    </row>
    <row r="13" ht="30" customHeight="1">
      <c r="A13" s="7" t="inlineStr">
        <is>
          <t>٥</t>
        </is>
      </c>
      <c r="B13" s="8" t="inlineStr">
        <is>
          <t>الاعتماد الكلي على التقدير الشخصي للمدير المباشر</t>
        </is>
      </c>
      <c r="C13" s="9" t="n">
        <v>1</v>
      </c>
      <c r="D13" s="10" t="inlineStr">
        <is>
          <t>القرار النهائي حكم فردي بلا معايرة</t>
        </is>
      </c>
      <c r="E13" s="11">
        <f>IF(AND(N(C13)&gt;0,C13&lt;=SMALL($C$9:$C$15,2)),"⚑ أولوية تدخل","")</f>
        <v/>
      </c>
    </row>
    <row r="14" ht="30" customHeight="1">
      <c r="A14" s="7" t="inlineStr">
        <is>
          <t>٦</t>
        </is>
      </c>
      <c r="B14" s="8" t="inlineStr">
        <is>
          <t>انفصال التقييم عن قرارات التطوير والمواهب</t>
        </is>
      </c>
      <c r="C14" s="9" t="n">
        <v>2</v>
      </c>
      <c r="D14" s="10" t="inlineStr"/>
      <c r="E14" s="11">
        <f>IF(AND(N(C14)&gt;0,C14&lt;=SMALL($C$9:$C$15,2)),"⚑ أولوية تدخل","")</f>
        <v/>
      </c>
    </row>
    <row r="15" ht="30" customHeight="1">
      <c r="A15" s="7" t="inlineStr">
        <is>
          <t>٧</t>
        </is>
      </c>
      <c r="B15" s="8" t="inlineStr">
        <is>
          <t>غياب النظرة المنظوماتية (العلّة الجامعة)</t>
        </is>
      </c>
      <c r="C15" s="9" t="n">
        <v>2</v>
      </c>
      <c r="D15" s="10" t="inlineStr"/>
      <c r="E15" s="11">
        <f>IF(AND(N(C15)&gt;0,C15&lt;=SMALL($C$9:$C$15,2)),"⚑ أولوية تدخل","")</f>
        <v/>
      </c>
    </row>
    <row r="16" ht="24" customHeight="1">
      <c r="A16" s="12" t="inlineStr">
        <is>
          <t>مجموع النضج</t>
        </is>
      </c>
      <c r="C16" s="13">
        <f>SUM(C9:C15)</f>
        <v/>
      </c>
      <c r="D16" s="14" t="inlineStr">
        <is>
          <t>من ٣٥ (أعلى = أنضج)</t>
        </is>
      </c>
      <c r="E16" s="19" t="n"/>
    </row>
    <row r="17">
      <c r="A17" s="15" t="inlineStr">
        <is>
          <t>نسبة النضج</t>
        </is>
      </c>
      <c r="B17" s="20" t="n"/>
      <c r="C17" s="16">
        <f>C16/35</f>
        <v/>
      </c>
      <c r="D17" s="17">
        <f>CONCATENATE("عتبة الأولوية = ثاني أدنى درجة (",SMALL(C9:C15,2),")")</f>
        <v/>
      </c>
      <c r="E17" s="20" t="n"/>
    </row>
    <row r="18"/>
    <row r="19" ht="26" customHeight="1">
      <c r="A19" s="5" t="inlineStr">
        <is>
          <t>القاعدة: البنود ذات أدنى درجتين (المعلّمة بـ⚑) هي أولوية تدخلك — عالجها أولًا.</t>
        </is>
      </c>
    </row>
    <row r="20" ht="18" customHeight="1">
      <c r="A20" s="18" t="inlineStr">
        <is>
          <t>© حقيبة أدوات «منظومة الأداء المتكاملة» — تأليف: سعد الأحمدي.  الإصدار الأول.</t>
        </is>
      </c>
    </row>
  </sheetData>
  <mergeCells count="12">
    <mergeCell ref="D16:E16"/>
    <mergeCell ref="A4:E4"/>
    <mergeCell ref="A16:B16"/>
    <mergeCell ref="A20:E20"/>
    <mergeCell ref="A2:E2"/>
    <mergeCell ref="A19:E19"/>
    <mergeCell ref="A1:E1"/>
    <mergeCell ref="A5:E5"/>
    <mergeCell ref="A17:B17"/>
    <mergeCell ref="A6:E6"/>
    <mergeCell ref="D17:E17"/>
    <mergeCell ref="A3:E3"/>
  </mergeCells>
  <dataValidations count="1">
    <dataValidation sqref="C9:C15" showDropDown="0" showInputMessage="1" showErrorMessage="1" allowBlank="1" errorTitle="قيمة غير صحيحة" error="اختر درجة من 0 إلى 5" promptTitle="اختر" prompt="اختر درجة من 0 إلى 5" type="list">
      <formula1>"0,1,2,3,4,5"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