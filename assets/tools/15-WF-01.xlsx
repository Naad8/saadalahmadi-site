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عبء العمل" sheetId="1" state="visible" r:id="rId1"/>
  </sheets>
  <definedNames>
    <definedName name="_xlnm.Print_Area" localSheetId="0">'عبء العمل'!$A$1:$E$29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1F5C3F"/>
      <sz val="11"/>
    </font>
    <font>
      <name val="Arial"/>
      <color rgb="0015241D"/>
      <sz val="10"/>
    </font>
    <font>
      <name val="Arial"/>
      <i val="1"/>
      <color rgb="00A97E2F"/>
      <sz val="10"/>
    </font>
    <font>
      <name val="Arial"/>
      <b val="1"/>
      <color rgb="00FFFFFF"/>
      <sz val="11"/>
    </font>
    <font>
      <name val="Arial"/>
      <color rgb="0015241D"/>
      <sz val="11"/>
    </font>
    <font>
      <name val="Arial"/>
      <b val="1"/>
      <color rgb="0015241D"/>
      <sz val="11"/>
    </font>
    <font>
      <name val="Arial"/>
      <b val="1"/>
      <color rgb="00A97E2F"/>
      <sz val="13"/>
    </font>
    <font>
      <name val="Arial"/>
      <b val="1"/>
      <color rgb="001F5C3F"/>
      <sz val="10.5"/>
    </font>
    <font>
      <name val="Arial"/>
      <color rgb="007A8A80"/>
      <sz val="9"/>
    </font>
  </fonts>
  <fills count="7">
    <fill>
      <patternFill/>
    </fill>
    <fill>
      <patternFill patternType="gray125"/>
    </fill>
    <fill>
      <patternFill patternType="solid">
        <fgColor rgb="00123528"/>
      </patternFill>
    </fill>
    <fill>
      <patternFill patternType="solid">
        <fgColor rgb="001F5C3F"/>
      </patternFill>
    </fill>
    <fill>
      <patternFill patternType="solid">
        <fgColor rgb="00EAF3EC"/>
      </patternFill>
    </fill>
    <fill>
      <patternFill patternType="solid">
        <fgColor rgb="002F7D5B"/>
      </patternFill>
    </fill>
    <fill>
      <patternFill patternType="solid">
        <fgColor rgb="00FFF3CC"/>
      </patternFill>
    </fill>
  </fills>
  <borders count="7">
    <border>
      <left/>
      <right/>
      <top/>
      <bottom/>
      <diagonal/>
    </border>
    <border>
      <left style="medium">
        <color rgb="001F5C3F"/>
      </left>
      <right style="medium">
        <color rgb="001F5C3F"/>
      </right>
      <top style="medium">
        <color rgb="001F5C3F"/>
      </top>
      <bottom style="medium">
        <color rgb="001F5C3F"/>
      </bottom>
    </border>
    <border>
      <left style="thin">
        <color rgb="00C9D6CD"/>
      </left>
      <right style="thin">
        <color rgb="00C9D6CD"/>
      </right>
      <top style="thin">
        <color rgb="00C9D6CD"/>
      </top>
      <bottom style="thin">
        <color rgb="00C9D6CD"/>
      </bottom>
    </border>
    <border>
      <left/>
      <right/>
      <top style="thin">
        <color rgb="00C9D6CD"/>
      </top>
      <bottom/>
      <diagonal/>
    </border>
    <border>
      <left/>
      <right style="thin">
        <color rgb="00C9D6CD"/>
      </right>
      <top style="thin">
        <color rgb="00C9D6CD"/>
      </top>
      <bottom/>
      <diagonal/>
    </border>
    <border>
      <left/>
      <right/>
      <top style="thin">
        <color rgb="00C9D6CD"/>
      </top>
      <bottom style="thin">
        <color rgb="00C9D6CD"/>
      </bottom>
      <diagonal/>
    </border>
    <border>
      <left/>
      <right style="thin">
        <color rgb="00C9D6CD"/>
      </right>
      <top style="thin">
        <color rgb="00C9D6CD"/>
      </top>
      <bottom style="thin">
        <color rgb="00C9D6CD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right" vertical="center" wrapText="1"/>
    </xf>
    <xf numFmtId="1" fontId="7" fillId="6" borderId="2" applyAlignment="1" pivotButton="0" quotePrefix="0" xfId="0">
      <alignment horizontal="center" vertical="center" wrapText="1"/>
    </xf>
    <xf numFmtId="2" fontId="7" fillId="6" borderId="2" applyAlignment="1" pivotButton="0" quotePrefix="0" xfId="0">
      <alignment horizontal="center" vertical="center" wrapText="1"/>
    </xf>
    <xf numFmtId="3" fontId="8" fillId="0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right" vertical="center" wrapText="1"/>
    </xf>
    <xf numFmtId="3" fontId="1" fillId="3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3" fontId="7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right" vertical="center" wrapText="1"/>
    </xf>
    <xf numFmtId="164" fontId="9" fillId="6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right" vertical="center" wrapText="1"/>
    </xf>
    <xf numFmtId="0" fontId="4" fillId="4" borderId="2" applyAlignment="1" pivotButton="0" quotePrefix="0" xfId="0">
      <alignment horizontal="right" vertical="center" wrapText="1"/>
    </xf>
    <xf numFmtId="0" fontId="11" fillId="0" borderId="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الحقيبة</author>
  </authors>
  <commentList>
    <comment ref="E18" authorId="0" shapeId="0">
      <text>
        <t>إجمالي عدد موظفي الوحدة الذين ينفّذون هذه الأهداف خلال الفترة.</t>
      </text>
    </comment>
    <comment ref="E19" authorId="0" shapeId="0">
      <text>
        <t>ساعات الدوام الاسمية المجدولة للموظف الواحد خلال الفترة (قبل خصم الفاقد). مثال: نحو 120 ساعة شهريًا = 20 يومًا × 6 ساعات فعلية. اجعل الفترة نفسها المستخدمة في الزمن التقديري للأهداف.</t>
      </text>
    </comment>
    <comment ref="E20" authorId="0" shapeId="0">
      <text>
        <t>نسبة بين 0 و1 تحوّل الساعات الاسمية إلى ساعات متاحة فعلًا للعمل الأساسي، بعد استبعاد الاجتماعات والتدريب والإجازات والأعمال الإدارية والانقطاعات. 0.85 قيمة مثال (15% فاقد) — عايِرها من واقع مؤسستك.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0" rightToLeft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16" customWidth="1" min="4" max="4"/>
    <col width="20" customWidth="1" min="5" max="5"/>
  </cols>
  <sheetData>
    <row r="1" ht="24" customHeight="1">
      <c r="A1" s="1" t="inlineStr">
        <is>
          <t>حقيبة أدوات منظومة الأداء المتكاملة</t>
        </is>
      </c>
    </row>
    <row r="2" ht="30" customHeight="1">
      <c r="A2" s="2" t="inlineStr">
        <is>
          <t>الأداة ١٥ من ٢٧ — نموذج قياس عبء العمل اللحظي  ·  الفصل الرابع عشر</t>
        </is>
      </c>
    </row>
    <row r="3" ht="28" customHeight="1">
      <c r="A3" s="3" t="inlineStr">
        <is>
          <t>الفكرة: حساب عبء الوحدة من مكوّنات الأهداف ومقارنته بالطاقة، فينتج مؤشر يتحدث مع تغيّر الأعمال.</t>
        </is>
      </c>
    </row>
    <row r="4" ht="32" customHeight="1">
      <c r="A4" s="4" t="inlineStr">
        <is>
          <t>إرشادات: عبء العمل ليس عدد الأهداف، تُعاير الأزمنة دوريًا، ويُقرأ المؤشر مع حدوده لا كحقيقة مطلقة.</t>
        </is>
      </c>
    </row>
    <row r="5" ht="26" customHeight="1">
      <c r="A5" s="5" t="inlineStr">
        <is>
          <t>عبء الهدف = عدد المخرجات × الزمن التقديري × معامل التعقيد. معامل التعقيد: ١ بسيط · ١٫٢٥ · ١٫٥ · ٢ مرتفع.</t>
        </is>
      </c>
    </row>
    <row r="6" ht="20" customHeight="1">
      <c r="A6" s="5" t="inlineStr">
        <is>
          <t>خانات الإدخال باللون الذهبي الفاتح. القيم الظاهرة مثال توضيحي يُستبدل بمعطيات مؤسستك.</t>
        </is>
      </c>
    </row>
    <row r="7"/>
    <row r="8" ht="26" customHeight="1">
      <c r="A8" s="6" t="inlineStr">
        <is>
          <t>الهدف</t>
        </is>
      </c>
      <c r="B8" s="6" t="inlineStr">
        <is>
          <t>عدد المخرجات</t>
        </is>
      </c>
      <c r="C8" s="6" t="inlineStr">
        <is>
          <t>الزمن التقديري (ساعة)</t>
        </is>
      </c>
      <c r="D8" s="6" t="inlineStr">
        <is>
          <t>معامل التعقيد</t>
        </is>
      </c>
      <c r="E8" s="6" t="inlineStr">
        <is>
          <t>عبء الهدف (ساعة)</t>
        </is>
      </c>
    </row>
    <row r="9" ht="28" customHeight="1">
      <c r="A9" s="7" t="inlineStr">
        <is>
          <t>معالجة الطلبات</t>
        </is>
      </c>
      <c r="B9" s="8" t="n">
        <v>800</v>
      </c>
      <c r="C9" s="9" t="n">
        <v>0.5</v>
      </c>
      <c r="D9" s="9" t="n">
        <v>1.25</v>
      </c>
      <c r="E9" s="10">
        <f>IF(OR(B9="",C9="",D9=""),"",B9*C9*D9)</f>
        <v/>
      </c>
    </row>
    <row r="10" ht="28" customHeight="1">
      <c r="A10" s="7" t="inlineStr">
        <is>
          <t>مراجعة الجودة</t>
        </is>
      </c>
      <c r="B10" s="8" t="n">
        <v>200</v>
      </c>
      <c r="C10" s="9" t="n">
        <v>1</v>
      </c>
      <c r="D10" s="9" t="n">
        <v>1.5</v>
      </c>
      <c r="E10" s="10">
        <f>IF(OR(B10="",C10="",D10=""),"",B10*C10*D10)</f>
        <v/>
      </c>
    </row>
    <row r="11" ht="28" customHeight="1">
      <c r="A11" s="7" t="inlineStr"/>
      <c r="B11" s="8" t="inlineStr"/>
      <c r="C11" s="9" t="inlineStr"/>
      <c r="D11" s="9" t="inlineStr"/>
      <c r="E11" s="10">
        <f>IF(OR(B11="",C11="",D11=""),"",B11*C11*D11)</f>
        <v/>
      </c>
    </row>
    <row r="12" ht="28" customHeight="1">
      <c r="A12" s="7" t="inlineStr"/>
      <c r="B12" s="8" t="inlineStr"/>
      <c r="C12" s="9" t="inlineStr"/>
      <c r="D12" s="9" t="inlineStr"/>
      <c r="E12" s="10">
        <f>IF(OR(B12="",C12="",D12=""),"",B12*C12*D12)</f>
        <v/>
      </c>
    </row>
    <row r="13" ht="28" customHeight="1">
      <c r="A13" s="7" t="inlineStr"/>
      <c r="B13" s="8" t="inlineStr"/>
      <c r="C13" s="9" t="inlineStr"/>
      <c r="D13" s="9" t="inlineStr"/>
      <c r="E13" s="10">
        <f>IF(OR(B13="",C13="",D13=""),"",B13*C13*D13)</f>
        <v/>
      </c>
    </row>
    <row r="14" ht="28" customHeight="1">
      <c r="A14" s="7" t="inlineStr"/>
      <c r="B14" s="8" t="inlineStr"/>
      <c r="C14" s="9" t="inlineStr"/>
      <c r="D14" s="9" t="inlineStr"/>
      <c r="E14" s="10">
        <f>IF(OR(B14="",C14="",D14=""),"",B14*C14*D14)</f>
        <v/>
      </c>
    </row>
    <row r="15">
      <c r="A15" s="11" t="inlineStr">
        <is>
          <t>إجمالي عبء الوحدة (ساعة)</t>
        </is>
      </c>
      <c r="B15" s="21" t="n"/>
      <c r="C15" s="21" t="n"/>
      <c r="D15" s="22" t="n"/>
      <c r="E15" s="12">
        <f>SUM(E9:E14)</f>
        <v/>
      </c>
    </row>
    <row r="16"/>
    <row r="17" ht="24" customHeight="1">
      <c r="A17" s="13" t="inlineStr">
        <is>
          <t>الطاقة المتاحة = عدد الموظفين × الساعات المنتجة للموظف × معامل التوافر</t>
        </is>
      </c>
    </row>
    <row r="18" ht="26" customHeight="1">
      <c r="A18" s="14" t="inlineStr">
        <is>
          <t>عدد الموظفين في الوحدة</t>
        </is>
      </c>
      <c r="B18" s="21" t="n"/>
      <c r="C18" s="21" t="n"/>
      <c r="D18" s="22" t="n"/>
      <c r="E18" s="15" t="n">
        <v>6</v>
      </c>
    </row>
    <row r="19" ht="26" customHeight="1">
      <c r="A19" s="14" t="inlineStr">
        <is>
          <t>الساعات المنتجة لكل موظف في الفترة</t>
        </is>
      </c>
      <c r="B19" s="21" t="n"/>
      <c r="C19" s="21" t="n"/>
      <c r="D19" s="22" t="n"/>
      <c r="E19" s="15" t="n">
        <v>120</v>
      </c>
    </row>
    <row r="20" ht="26" customHeight="1">
      <c r="A20" s="14" t="inlineStr">
        <is>
          <t>معامل التوافر (٠–١)</t>
        </is>
      </c>
      <c r="B20" s="21" t="n"/>
      <c r="C20" s="21" t="n"/>
      <c r="D20" s="22" t="n"/>
      <c r="E20" s="9" t="n">
        <v>0.85</v>
      </c>
    </row>
    <row r="21">
      <c r="A21" s="11" t="inlineStr">
        <is>
          <t>الطاقة المتاحة (ساعة)</t>
        </is>
      </c>
      <c r="B21" s="21" t="n"/>
      <c r="C21" s="21" t="n"/>
      <c r="D21" s="22" t="n"/>
      <c r="E21" s="12">
        <f>E18*E19*E20</f>
        <v/>
      </c>
    </row>
    <row r="22">
      <c r="A22" s="16" t="inlineStr">
        <is>
          <t>مؤشر العبء = عبء الوحدة ÷ الطاقة</t>
        </is>
      </c>
      <c r="B22" s="21" t="n"/>
      <c r="C22" s="21" t="n"/>
      <c r="D22" s="22" t="n"/>
      <c r="E22" s="17">
        <f>IFERROR(E15/E21,0)</f>
        <v/>
      </c>
    </row>
    <row r="23" ht="30" customHeight="1">
      <c r="A23" s="5" t="inlineStr">
        <is>
          <t>قراءة المؤشر: أكبر من ١٠٠٪ عبء زائد · قريب من ١٠٠٪ متوازن · أقل بكثير طاقة فائضة. يُقرأ مع اتجاهه عبر الفترات لا كقيمة لحظية.</t>
        </is>
      </c>
    </row>
    <row r="24" ht="24" customHeight="1">
      <c r="A24" s="13" t="inlineStr">
        <is>
          <t>التعريفات وطريقة القراءة</t>
        </is>
      </c>
    </row>
    <row r="25" ht="42" customHeight="1">
      <c r="A25" s="18" t="inlineStr">
        <is>
          <t>الفترة</t>
        </is>
      </c>
      <c r="B25" s="22" t="n"/>
      <c r="C25" s="19" t="inlineStr">
        <is>
          <t>النافذة الزمنية التي يُحسب عليها العبء والطاقة معًا (دورة الأداء: شهر أو ربع سنة أو سنة). يجب توحيدها في الطرفين — إن كان العبء ربعيًا فالساعات المنتجة ربعية.</t>
        </is>
      </c>
      <c r="D25" s="21" t="n"/>
      <c r="E25" s="22" t="n"/>
    </row>
    <row r="26" ht="42" customHeight="1">
      <c r="A26" s="18" t="inlineStr">
        <is>
          <t>الساعات المنتجة لكل موظف</t>
        </is>
      </c>
      <c r="B26" s="22" t="n"/>
      <c r="C26" s="19" t="inlineStr">
        <is>
          <t>ساعات الدوام الاسمية المجدولة للموظف خلال الفترة قبل خصم الفاقد. مثال: نحو ١٢٠ ساعة شهريًا (٢٠ يومًا × ٦ ساعات فعلية).</t>
        </is>
      </c>
      <c r="D26" s="21" t="n"/>
      <c r="E26" s="22" t="n"/>
    </row>
    <row r="27" ht="42" customHeight="1">
      <c r="A27" s="18" t="inlineStr">
        <is>
          <t>معامل التوافر</t>
        </is>
      </c>
      <c r="B27" s="22" t="n"/>
      <c r="C27" s="19" t="inlineStr">
        <is>
          <t>نسبة (٠–١) تحوّل الساعات الاسمية إلى ساعات متاحة فعلًا للعمل الأساسي، بعد استبعاد الاجتماعات والتدريب والإجازات والأعمال الإدارية. ٠٫٨٥ قيمة مثال (١٥٪ فاقد) تُعاير من واقع مؤسستك، لا رقم ثابت.</t>
        </is>
      </c>
      <c r="D27" s="21" t="n"/>
      <c r="E27" s="22" t="n"/>
    </row>
    <row r="28" ht="42" customHeight="1">
      <c r="A28" s="18" t="inlineStr">
        <is>
          <t>مثال محسوب</t>
        </is>
      </c>
      <c r="B28" s="22" t="n"/>
      <c r="C28" s="19" t="inlineStr">
        <is>
          <t>٦ موظفين × ١٢٠ ساعة × ٠٫٨٥ = ٦١٢ ساعة طاقة، مقابل عبء وحدة ٨٠٠ ساعة، فالمؤشر = ٨٠٠ ÷ ٦١٢ = ١٣٠٫٧٪ (عبء يفوق الطاقة بنحو الثلث).</t>
        </is>
      </c>
      <c r="D28" s="21" t="n"/>
      <c r="E28" s="22" t="n"/>
    </row>
    <row r="29" ht="18" customHeight="1">
      <c r="A29" s="20" t="inlineStr">
        <is>
          <t>© حقيبة أدوات «منظومة الأداء المتكاملة» — تأليف: سعد الأحمدي.  الإصدار الأول.</t>
        </is>
      </c>
    </row>
  </sheetData>
  <mergeCells count="24">
    <mergeCell ref="A24:E24"/>
    <mergeCell ref="A22:D22"/>
    <mergeCell ref="A20:D20"/>
    <mergeCell ref="A1:E1"/>
    <mergeCell ref="A19:D19"/>
    <mergeCell ref="A6:E6"/>
    <mergeCell ref="C27:E27"/>
    <mergeCell ref="A25:B25"/>
    <mergeCell ref="A15:D15"/>
    <mergeCell ref="A27:B27"/>
    <mergeCell ref="A3:E3"/>
    <mergeCell ref="A26:B26"/>
    <mergeCell ref="C28:E28"/>
    <mergeCell ref="A2:E2"/>
    <mergeCell ref="A5:E5"/>
    <mergeCell ref="A23:E23"/>
    <mergeCell ref="A17:E17"/>
    <mergeCell ref="A18:D18"/>
    <mergeCell ref="A4:E4"/>
    <mergeCell ref="A29:E29"/>
    <mergeCell ref="A21:D21"/>
    <mergeCell ref="A28:B28"/>
    <mergeCell ref="C26:E26"/>
    <mergeCell ref="C25:E25"/>
  </mergeCells>
  <dataValidations count="1">
    <dataValidation sqref="D9:D14" showDropDown="0" showInputMessage="1" showErrorMessage="1" allowBlank="1" errorTitle="قيمة غير صحيحة" error="اختر قيمة من القائمة" promptTitle="اختر" prompt="اختر قيمة من القائمة" type="list">
      <formula1>"1,1.25,1.5,2"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2026-09-22T13:16:01Z</dcterms:created>
  <dcterms:modified xmlns:dcterms="http://purl.org/dc/terms/" xmlns:xsi="http://www.w3.org/2001/XMLSchema-instance" xsi:type="dcterms:W3CDTF">2026-10-03T20:30:18Z</dcterms:modified>
</cp:coreProperties>
</file>